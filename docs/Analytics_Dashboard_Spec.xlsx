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lter Logic" sheetId="2" state="visible" r:id="rId2"/>
    <sheet xmlns:r="http://schemas.openxmlformats.org/officeDocument/2006/relationships" name="AVG Amount Detail" sheetId="3" state="visible" r:id="rId3"/>
    <sheet xmlns:r="http://schemas.openxmlformats.org/officeDocument/2006/relationships" name="Other Tab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medium">
        <color rgb="00F4B942"/>
      </left>
      <right style="medium">
        <color rgb="00F4B942"/>
      </right>
      <top style="medium">
        <color rgb="00F4B942"/>
      </top>
      <bottom style="medium">
        <color rgb="00F4B942"/>
      </bottom>
    </border>
    <border>
      <left/>
      <right/>
      <top style="medium">
        <color rgb="00F4B942"/>
      </top>
      <bottom/>
      <diagonal/>
    </border>
    <border>
      <left/>
      <right style="medium">
        <color rgb="00F4B942"/>
      </right>
      <top style="medium">
        <color rgb="00F4B942"/>
      </top>
      <bottom/>
      <diagonal/>
    </border>
    <border>
      <left/>
      <right style="medium">
        <color rgb="00F4B942"/>
      </right>
      <top style="medium">
        <color rgb="00F4B942"/>
      </top>
      <bottom style="medium">
        <color rgb="00F4B942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F4B942"/>
      </top>
      <bottom style="medium">
        <color rgb="00F4B942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left" vertical="center" wrapText="1"/>
    </xf>
    <xf numFmtId="0" fontId="4" fillId="5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left" vertical="center" wrapText="1"/>
    </xf>
    <xf numFmtId="0" fontId="3" fillId="5" borderId="5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4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36" customHeight="1">
      <c r="A1" s="1" t="inlineStr">
        <is>
          <t>Analytics Dashboard — Business Logic Specification</t>
        </is>
      </c>
      <c r="B1" s="2" t="n"/>
    </row>
    <row r="3">
      <c r="A3" s="3" t="inlineStr">
        <is>
          <t>Filter Controls</t>
        </is>
      </c>
      <c r="B3" s="2" t="n"/>
    </row>
    <row r="4">
      <c r="A4" s="4" t="inlineStr">
        <is>
          <t>Year Filter</t>
        </is>
      </c>
      <c r="B4" s="5" t="inlineStr">
        <is>
          <t>All Years / ปีการศึกษา เช่น 2025/2026, 2024/2025</t>
        </is>
      </c>
    </row>
    <row r="5">
      <c r="A5" s="4" t="inlineStr">
        <is>
          <t>Term Filter</t>
        </is>
      </c>
      <c r="B5" s="5" t="inlineStr">
        <is>
          <t>All Terms / Term 1 / Term 2 / Term 3</t>
        </is>
      </c>
    </row>
    <row r="6">
      <c r="A6" s="4" t="inlineStr">
        <is>
          <t>Fee Type Filter</t>
        </is>
      </c>
      <c r="B6" s="5" t="inlineStr">
        <is>
          <t>All Fee Types / Tuition / ECA / Trip / Exam / Bus</t>
        </is>
      </c>
    </row>
    <row r="8">
      <c r="A8" s="3" t="inlineStr">
        <is>
          <t>Stat Cards (แถวบนสุด)</t>
        </is>
      </c>
      <c r="B8" s="2" t="n"/>
    </row>
    <row r="9">
      <c r="A9" s="4" t="inlineStr">
        <is>
          <t>Gross Revenue</t>
        </is>
      </c>
      <c r="B9" s="6" t="inlineStr">
        <is>
          <t>รายได้รวมก่อนหักส่วนลด</t>
        </is>
      </c>
    </row>
    <row r="10">
      <c r="A10" s="7" t="inlineStr">
        <is>
          <t>Net Revenue</t>
        </is>
      </c>
      <c r="B10" s="5" t="inlineStr">
        <is>
          <t>รายได้สุทธิหลังหักส่วนลดและ Bank Fees</t>
        </is>
      </c>
    </row>
    <row r="11">
      <c r="A11" s="4" t="inlineStr">
        <is>
          <t>Bank Fees</t>
        </is>
      </c>
      <c r="B11" s="6" t="inlineStr">
        <is>
          <t>ค่าธรรมเนียมธนาคาร (Online Payment เท่านั้น: Thai QR, Online Credit Card)</t>
        </is>
      </c>
    </row>
    <row r="12">
      <c r="A12" s="7" t="inlineStr">
        <is>
          <t>Students</t>
        </is>
      </c>
      <c r="B12" s="5" t="inlineStr">
        <is>
          <t>จำนวนนักเรียนทั้งหมด (unique) ที่มี Invoice ในช่วงที่ filter</t>
        </is>
      </c>
    </row>
    <row r="13">
      <c r="A13" s="4" t="inlineStr">
        <is>
          <t>Transactions</t>
        </is>
      </c>
      <c r="B13" s="6" t="inlineStr">
        <is>
          <t>จำนวน Transaction ทั้งหมด</t>
        </is>
      </c>
    </row>
    <row r="14">
      <c r="A14" s="7" t="inlineStr">
        <is>
          <t>Success Rate</t>
        </is>
      </c>
      <c r="B14" s="5" t="inlineStr">
        <is>
          <t>อัตรา Transaction สำเร็จ (%)</t>
        </is>
      </c>
    </row>
    <row r="16">
      <c r="A16" s="3" t="inlineStr">
        <is>
          <t>Invoice ที่นับเป็นรายได้</t>
        </is>
      </c>
      <c r="B16" s="2" t="n"/>
    </row>
    <row r="17">
      <c r="A17" s="4" t="inlineStr">
        <is>
          <t>Status ที่นับ</t>
        </is>
      </c>
      <c r="B17" s="5" t="inlineStr">
        <is>
          <t>paid, sent, overdue, approved</t>
        </is>
      </c>
    </row>
    <row r="18">
      <c r="A18" s="4" t="inlineStr">
        <is>
          <t>Status ที่ไม่นับ</t>
        </is>
      </c>
      <c r="B18" s="5" t="inlineStr">
        <is>
          <t>draft, cancelled, rejected, wait</t>
        </is>
      </c>
    </row>
    <row r="19">
      <c r="A19" s="4" t="inlineStr">
        <is>
          <t>ปีปัจจุบัน (Current Year)</t>
        </is>
      </c>
      <c r="B19" s="5">
        <f> ปีการศึกษาล่าสุดที่มีข้อมูลใน Invoice (ตรวจจากข้อมูลจริงในระบบ)</f>
        <v/>
      </c>
    </row>
    <row r="21">
      <c r="A21" s="3" t="inlineStr">
        <is>
          <t>Navigation Tabs</t>
        </is>
      </c>
      <c r="B21" s="2" t="n"/>
    </row>
    <row r="22">
      <c r="A22" s="4" t="inlineStr">
        <is>
          <t>Tab 1</t>
        </is>
      </c>
      <c r="B22" s="6" t="inlineStr">
        <is>
          <t>Revenue Comparison — เปรียบเทียบรายได้ YoY / ToT</t>
        </is>
      </c>
    </row>
    <row r="23">
      <c r="A23" s="7" t="inlineStr">
        <is>
          <t>Tab 2</t>
        </is>
      </c>
      <c r="B23" s="5" t="inlineStr">
        <is>
          <t>AVG Amount — รายได้เฉลี่ยต่อนักเรียน</t>
        </is>
      </c>
    </row>
    <row r="24">
      <c r="A24" s="4" t="inlineStr">
        <is>
          <t>Tab 3</t>
        </is>
      </c>
      <c r="B24" s="6" t="inlineStr">
        <is>
          <t>No. of Transactions — จำนวน Transaction แยก Payment Method</t>
        </is>
      </c>
    </row>
    <row r="25">
      <c r="A25" s="7" t="inlineStr">
        <is>
          <t>Tab 4</t>
        </is>
      </c>
      <c r="B25" s="5" t="inlineStr">
        <is>
          <t>Declined vs Successful — สถานะ Transaction</t>
        </is>
      </c>
    </row>
    <row r="26">
      <c r="A26" s="4" t="inlineStr">
        <is>
          <t>Tab 5</t>
        </is>
      </c>
      <c r="B26" s="6" t="inlineStr">
        <is>
          <t>Bank Fees — ค่าธรรมเนียมธนาคาร</t>
        </is>
      </c>
    </row>
    <row r="27">
      <c r="A27" s="7" t="inlineStr">
        <is>
          <t>Tab 6</t>
        </is>
      </c>
      <c r="B27" s="5" t="inlineStr">
        <is>
          <t>Net vs Gross Revenue — Waterfall ส่วนลด</t>
        </is>
      </c>
    </row>
  </sheetData>
  <mergeCells count="5">
    <mergeCell ref="A21:B21"/>
    <mergeCell ref="A16:B16"/>
    <mergeCell ref="A1:B1"/>
    <mergeCell ref="A8:B8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40" customWidth="1" min="3" max="3"/>
    <col width="40" customWidth="1" min="4" max="4"/>
  </cols>
  <sheetData>
    <row r="1" ht="36" customHeight="1">
      <c r="A1" s="8" t="inlineStr">
        <is>
          <t>เงื่อนไข Filter — ทุก Tab</t>
        </is>
      </c>
      <c r="B1" s="9" t="n"/>
      <c r="C1" s="9" t="n"/>
      <c r="D1" s="2" t="n"/>
    </row>
    <row r="3">
      <c r="A3" s="3" t="inlineStr">
        <is>
          <t>กฎหลัก (General Rule)</t>
        </is>
      </c>
      <c r="B3" s="9" t="n"/>
      <c r="C3" s="9" t="n"/>
      <c r="D3" s="2" t="n"/>
    </row>
    <row r="4">
      <c r="A4" s="10" t="inlineStr">
        <is>
          <t>Year Filter</t>
        </is>
      </c>
      <c r="B4" s="10" t="inlineStr">
        <is>
          <t>Term Filter</t>
        </is>
      </c>
      <c r="C4" s="10" t="inlineStr">
        <is>
          <t>ผลลัพธ์</t>
        </is>
      </c>
      <c r="D4" s="2" t="n"/>
    </row>
    <row r="5">
      <c r="A5" s="4" t="inlineStr">
        <is>
          <t>All Years</t>
        </is>
      </c>
      <c r="B5" s="4" t="inlineStr">
        <is>
          <t>All Terms</t>
        </is>
      </c>
      <c r="C5" s="6" t="inlineStr">
        <is>
          <t>แสดงข้อมูลปีการศึกษาปัจจุบัน (ปีล่าสุดในระบบ)</t>
        </is>
      </c>
    </row>
    <row r="6">
      <c r="A6" s="7" t="inlineStr">
        <is>
          <t>Filter Year</t>
        </is>
      </c>
      <c r="B6" s="7" t="inlineStr">
        <is>
          <t>All Terms</t>
        </is>
      </c>
      <c r="C6" s="5" t="inlineStr">
        <is>
          <t>แสดงปีที่เลือก + ย้อนหลัง 2 ปี (รวม 3 ปี)</t>
        </is>
      </c>
    </row>
    <row r="7">
      <c r="A7" s="4" t="inlineStr">
        <is>
          <t>All Years</t>
        </is>
      </c>
      <c r="B7" s="4" t="inlineStr">
        <is>
          <t>Filter Term</t>
        </is>
      </c>
      <c r="C7" s="6" t="inlineStr">
        <is>
          <t>แสดง Term นั้น + ย้อนหลัง 2 ปี (รวม 3 ปี)</t>
        </is>
      </c>
    </row>
    <row r="8">
      <c r="A8" s="7" t="inlineStr">
        <is>
          <t>Filter Year</t>
        </is>
      </c>
      <c r="B8" s="7" t="inlineStr">
        <is>
          <t>Filter Term</t>
        </is>
      </c>
      <c r="C8" s="5" t="inlineStr">
        <is>
          <t>แสดง Term นั้นใน 3 ปี โดยใช้ปีที่เลือกเป็นฐาน</t>
        </is>
      </c>
    </row>
    <row r="10">
      <c r="A10" s="3" t="inlineStr">
        <is>
          <t>Tab 1 — Revenue Comparison</t>
        </is>
      </c>
      <c r="B10" s="9" t="n"/>
      <c r="C10" s="9" t="n"/>
      <c r="D10" s="2" t="n"/>
    </row>
    <row r="11">
      <c r="A11" s="10" t="inlineStr">
        <is>
          <t>Filter</t>
        </is>
      </c>
      <c r="B11" s="10" t="inlineStr">
        <is>
          <t>Table/Chart</t>
        </is>
      </c>
      <c r="C11" s="10" t="inlineStr">
        <is>
          <t>Columns ที่แสดง</t>
        </is>
      </c>
      <c r="D11" s="2" t="n"/>
    </row>
    <row r="12">
      <c r="A12" s="4" t="inlineStr">
        <is>
          <t>All Years + All Terms</t>
        </is>
      </c>
      <c r="B12" s="6" t="inlineStr">
        <is>
          <t>Bar Chart</t>
        </is>
      </c>
      <c r="C12" s="6" t="inlineStr">
        <is>
          <t>Revenue ปีปัจจุบัน (1 set of bars per Year Group)</t>
        </is>
      </c>
    </row>
    <row r="13">
      <c r="A13" s="7" t="inlineStr">
        <is>
          <t>Filter Year</t>
        </is>
      </c>
      <c r="B13" s="5" t="inlineStr">
        <is>
          <t>Bar Chart</t>
        </is>
      </c>
      <c r="C13" s="5" t="inlineStr">
        <is>
          <t>Grouped bars 3 ปี เปรียบเทียบ (3 bars per Year Group)</t>
        </is>
      </c>
    </row>
    <row r="14">
      <c r="A14" s="4" t="inlineStr">
        <is>
          <t>Filter Term</t>
        </is>
      </c>
      <c r="B14" s="6" t="inlineStr">
        <is>
          <t>Bar Chart</t>
        </is>
      </c>
      <c r="C14" s="6" t="inlineStr">
        <is>
          <t>Revenue ปีปัจจุบัน Term นั้น (1 bar per Year Group)</t>
        </is>
      </c>
    </row>
    <row r="15">
      <c r="A15" s="7" t="inlineStr">
        <is>
          <t>All Years + All Terms</t>
        </is>
      </c>
      <c r="B15" s="5" t="inlineStr">
        <is>
          <t>Compare by Term</t>
        </is>
      </c>
      <c r="C15" s="5" t="inlineStr">
        <is>
          <t>Terms ของปีปัจจุบัน เช่น 2025/26 T1, T2, T3</t>
        </is>
      </c>
    </row>
    <row r="16">
      <c r="A16" s="4" t="inlineStr">
        <is>
          <t>Filter Year</t>
        </is>
      </c>
      <c r="B16" s="6" t="inlineStr">
        <is>
          <t>Compare by Term</t>
        </is>
      </c>
      <c r="C16" s="6" t="inlineStr">
        <is>
          <t>ทุก Term × 3 ปี เช่น 23/24 T1, 24/25 T1, 25/26 T1, T2, T3</t>
        </is>
      </c>
    </row>
    <row r="17">
      <c r="A17" s="7" t="inlineStr">
        <is>
          <t>Filter Term</t>
        </is>
      </c>
      <c r="B17" s="5" t="inlineStr">
        <is>
          <t>Compare by Term</t>
        </is>
      </c>
      <c r="C17" s="5" t="inlineStr">
        <is>
          <t>Term นั้นใน 3 ปี เช่น 23/24 T1, 24/25 T1, 25/26 T1</t>
        </is>
      </c>
    </row>
    <row r="18">
      <c r="A18" s="4" t="inlineStr">
        <is>
          <t>All Years + All Terms</t>
        </is>
      </c>
      <c r="B18" s="6" t="inlineStr">
        <is>
          <t>Compare by Academic Year</t>
        </is>
      </c>
      <c r="C18" s="6" t="inlineStr">
        <is>
          <t>ปีปัจจุบัน (1 column)</t>
        </is>
      </c>
    </row>
    <row r="19">
      <c r="A19" s="7" t="inlineStr">
        <is>
          <t>Filter Year</t>
        </is>
      </c>
      <c r="B19" s="5" t="inlineStr">
        <is>
          <t>Compare by Academic Year</t>
        </is>
      </c>
      <c r="C19" s="5" t="inlineStr">
        <is>
          <t>3 ปี: ปีที่เลือก + 2 ปีก่อน</t>
        </is>
      </c>
    </row>
    <row r="20">
      <c r="A20" s="4" t="inlineStr">
        <is>
          <t>Filter Term</t>
        </is>
      </c>
      <c r="B20" s="6" t="inlineStr">
        <is>
          <t>Compare by Academic Year</t>
        </is>
      </c>
      <c r="C20" s="6" t="inlineStr">
        <is>
          <t>ไม่แสดงข้อมูล (—)</t>
        </is>
      </c>
    </row>
    <row r="22">
      <c r="A22" s="3" t="inlineStr">
        <is>
          <t>Tab 2 — AVG Amount</t>
        </is>
      </c>
      <c r="B22" s="9" t="n"/>
      <c r="C22" s="9" t="n"/>
      <c r="D22" s="2" t="n"/>
    </row>
    <row r="23">
      <c r="A23" s="10" t="inlineStr">
        <is>
          <t>Filter</t>
        </is>
      </c>
      <c r="B23" s="10" t="inlineStr">
        <is>
          <t>Table</t>
        </is>
      </c>
      <c r="C23" s="10" t="inlineStr">
        <is>
          <t>Columns ที่แสดง</t>
        </is>
      </c>
      <c r="D23" s="2" t="n"/>
    </row>
    <row r="24">
      <c r="A24" s="4" t="inlineStr">
        <is>
          <t>All Years + All Terms</t>
        </is>
      </c>
      <c r="B24" s="6" t="inlineStr">
        <is>
          <t>Avg Revenue by Term</t>
        </is>
      </c>
      <c r="C24" s="6" t="inlineStr">
        <is>
          <t>Terms ของปีปัจจุบัน</t>
        </is>
      </c>
    </row>
    <row r="25">
      <c r="A25" s="7" t="inlineStr">
        <is>
          <t>Filter Year</t>
        </is>
      </c>
      <c r="B25" s="5" t="inlineStr">
        <is>
          <t>Avg Revenue by Term</t>
        </is>
      </c>
      <c r="C25" s="5" t="inlineStr">
        <is>
          <t>ทุก Term × 3 ปี</t>
        </is>
      </c>
    </row>
    <row r="26">
      <c r="A26" s="4" t="inlineStr">
        <is>
          <t>Filter Term</t>
        </is>
      </c>
      <c r="B26" s="6" t="inlineStr">
        <is>
          <t>Avg Revenue by Term</t>
        </is>
      </c>
      <c r="C26" s="6" t="inlineStr">
        <is>
          <t>Term นั้นใน 3 ปี</t>
        </is>
      </c>
    </row>
    <row r="27">
      <c r="A27" s="7" t="inlineStr">
        <is>
          <t>All Years + All Terms</t>
        </is>
      </c>
      <c r="B27" s="5" t="inlineStr">
        <is>
          <t>Avg Revenue by Academic Year</t>
        </is>
      </c>
      <c r="C27" s="5" t="inlineStr">
        <is>
          <t>ปีปัจจุบัน (1 column)</t>
        </is>
      </c>
    </row>
    <row r="28">
      <c r="A28" s="4" t="inlineStr">
        <is>
          <t>Filter Year</t>
        </is>
      </c>
      <c r="B28" s="6" t="inlineStr">
        <is>
          <t>Avg Revenue by Academic Year</t>
        </is>
      </c>
      <c r="C28" s="6" t="inlineStr">
        <is>
          <t>3 ปี</t>
        </is>
      </c>
    </row>
    <row r="29">
      <c r="A29" s="7" t="inlineStr">
        <is>
          <t>Filter Term</t>
        </is>
      </c>
      <c r="B29" s="5" t="inlineStr">
        <is>
          <t>Avg Revenue by Academic Year</t>
        </is>
      </c>
      <c r="C29" s="5" t="inlineStr">
        <is>
          <t>Term นั้น × 3 ปี</t>
        </is>
      </c>
    </row>
  </sheetData>
  <mergeCells count="26">
    <mergeCell ref="C6:D6"/>
    <mergeCell ref="C24:D24"/>
    <mergeCell ref="A22:D22"/>
    <mergeCell ref="C15:D15"/>
    <mergeCell ref="C5:D5"/>
    <mergeCell ref="C14:D14"/>
    <mergeCell ref="A10:D10"/>
    <mergeCell ref="C26:D26"/>
    <mergeCell ref="C4:D4"/>
    <mergeCell ref="C20:D20"/>
    <mergeCell ref="C29:D29"/>
    <mergeCell ref="C16:D16"/>
    <mergeCell ref="C25:D25"/>
    <mergeCell ref="A1:D1"/>
    <mergeCell ref="C12:D12"/>
    <mergeCell ref="C11:D11"/>
    <mergeCell ref="C27:D27"/>
    <mergeCell ref="C17:D17"/>
    <mergeCell ref="C23:D23"/>
    <mergeCell ref="C8:D8"/>
    <mergeCell ref="C7:D7"/>
    <mergeCell ref="A3:D3"/>
    <mergeCell ref="C19:D19"/>
    <mergeCell ref="C28:D28"/>
    <mergeCell ref="C13:D13"/>
    <mergeCell ref="C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</cols>
  <sheetData>
    <row r="1" ht="36" customHeight="1">
      <c r="A1" s="8" t="inlineStr">
        <is>
          <t>Tab 2: AVG Amount — รายละเอียดการคำนวณ</t>
        </is>
      </c>
      <c r="B1" s="9" t="n"/>
      <c r="C1" s="2" t="n"/>
    </row>
    <row r="3">
      <c r="A3" s="3" t="inlineStr">
        <is>
          <t>โครงสร้างตาราง (ทั้ง 2 ตาราง)</t>
        </is>
      </c>
      <c r="B3" s="9" t="n"/>
      <c r="C3" s="2" t="n"/>
    </row>
    <row r="4">
      <c r="A4" s="10" t="inlineStr">
        <is>
          <t>Column</t>
        </is>
      </c>
      <c r="B4" s="10" t="inlineStr">
        <is>
          <t>ชื่อ</t>
        </is>
      </c>
      <c r="C4" s="10" t="inlineStr">
        <is>
          <t>คำอธิบาย</t>
        </is>
      </c>
    </row>
    <row r="5">
      <c r="A5" s="4" t="inlineStr">
        <is>
          <t>Fixed</t>
        </is>
      </c>
      <c r="B5" s="6" t="inlineStr">
        <is>
          <t>Year Group</t>
        </is>
      </c>
      <c r="C5" s="6" t="inlineStr">
        <is>
          <t>ชื่อกลุ่มชั้นปี เช่น Pre-Nursery, Year 1 ... Year 13</t>
        </is>
      </c>
    </row>
    <row r="6">
      <c r="A6" s="7" t="inlineStr">
        <is>
          <t>Per Term/Year</t>
        </is>
      </c>
      <c r="B6" s="5" t="inlineStr">
        <is>
          <t>Students</t>
        </is>
      </c>
      <c r="C6" s="5" t="inlineStr">
        <is>
          <t>จำนวนนักเรียน (unique) ที่มี Invoice ใน Term/Year นั้น</t>
        </is>
      </c>
    </row>
    <row r="7">
      <c r="A7" s="4" t="inlineStr">
        <is>
          <t>Per Term/Year</t>
        </is>
      </c>
      <c r="B7" s="6" t="inlineStr">
        <is>
          <t>Total amount</t>
        </is>
      </c>
      <c r="C7" s="6" t="inlineStr">
        <is>
          <t>รายได้รวมทั้งหมดของ Year Group นั้นใน Period นั้น</t>
        </is>
      </c>
    </row>
    <row r="8">
      <c r="A8" s="7" t="inlineStr">
        <is>
          <t>Per Term/Year</t>
        </is>
      </c>
      <c r="B8" s="5" t="inlineStr">
        <is>
          <t>Avg amount</t>
        </is>
      </c>
      <c r="C8" s="5" t="inlineStr">
        <is>
          <t>Total amount ÷ Students = รายได้เฉลี่ยต่อนักเรียน 1 คน</t>
        </is>
      </c>
    </row>
    <row r="10">
      <c r="A10" s="3" t="inlineStr">
        <is>
          <t>แถว Total (ต่อคน)</t>
        </is>
      </c>
      <c r="B10" s="9" t="n"/>
      <c r="C10" s="2" t="n"/>
    </row>
    <row r="11">
      <c r="A11" s="4" t="inlineStr">
        <is>
          <t>Students</t>
        </is>
      </c>
      <c r="B11" s="6" t="inlineStr">
        <is>
          <t>ผลรวม unique students ใน Term/Year นั้น (ทุก Year Group)</t>
        </is>
      </c>
    </row>
    <row r="12">
      <c r="A12" s="7" t="inlineStr">
        <is>
          <t>Total amount</t>
        </is>
      </c>
      <c r="B12" s="5" t="inlineStr">
        <is>
          <t>ผลรวม Total amount ทุก Year Group</t>
        </is>
      </c>
    </row>
    <row r="13">
      <c r="A13" s="4" t="inlineStr">
        <is>
          <t>Avg amount</t>
        </is>
      </c>
      <c r="B13" s="6" t="inlineStr">
        <is>
          <t>Total amount รวม ÷ Students รวม</t>
        </is>
      </c>
    </row>
    <row r="15">
      <c r="A15" s="3" t="inlineStr">
        <is>
          <t>ตัวอย่างการคำนวณ</t>
        </is>
      </c>
      <c r="B15" s="9" t="n"/>
      <c r="C15" s="2" t="n"/>
    </row>
    <row r="16">
      <c r="A16" s="11" t="inlineStr">
        <is>
          <t>Year 7 — 2025/2026 Term 1</t>
        </is>
      </c>
      <c r="B16" s="12" t="n"/>
      <c r="C16" s="13" t="n"/>
    </row>
    <row r="17">
      <c r="A17" s="4" t="inlineStr">
        <is>
          <t>Students</t>
        </is>
      </c>
      <c r="B17" s="14" t="inlineStr">
        <is>
          <t>15 คน</t>
        </is>
      </c>
      <c r="C17" s="6" t="inlineStr"/>
    </row>
    <row r="18">
      <c r="A18" s="7" t="inlineStr">
        <is>
          <t>Total amount</t>
        </is>
      </c>
      <c r="B18" s="15" t="inlineStr">
        <is>
          <t>฿825,000</t>
        </is>
      </c>
      <c r="C18" s="5" t="inlineStr">
        <is>
          <t>รายได้รวมทุก Invoice ของ Year 7 ใน Term 1 ปี 2025/26</t>
        </is>
      </c>
    </row>
    <row r="19">
      <c r="A19" s="4" t="inlineStr">
        <is>
          <t>Avg amount</t>
        </is>
      </c>
      <c r="B19" s="14" t="inlineStr">
        <is>
          <t>฿55,000</t>
        </is>
      </c>
      <c r="C19" s="6" t="inlineStr">
        <is>
          <t>825,000 ÷ 15 = 55,000 บาทต่อคน</t>
        </is>
      </c>
    </row>
  </sheetData>
  <mergeCells count="8">
    <mergeCell ref="A10:C10"/>
    <mergeCell ref="B13:C13"/>
    <mergeCell ref="A1:C1"/>
    <mergeCell ref="B11:C11"/>
    <mergeCell ref="A3:C3"/>
    <mergeCell ref="A15:C15"/>
    <mergeCell ref="A16:C16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6" customHeight="1">
      <c r="A1" s="8" t="inlineStr">
        <is>
          <t>Tab 3–6: รายละเอียด</t>
        </is>
      </c>
      <c r="B1" s="2" t="n"/>
    </row>
    <row r="3">
      <c r="A3" s="3" t="inlineStr">
        <is>
          <t>Tab 3 — No. of Transactions</t>
        </is>
      </c>
      <c r="B3" s="2" t="n"/>
    </row>
    <row r="4">
      <c r="A4" s="4" t="inlineStr">
        <is>
          <t>ข้อมูลที่แสดง</t>
        </is>
      </c>
      <c r="B4" s="6" t="inlineStr">
        <is>
          <t>จำนวน Transaction แยกตาม Payment Method</t>
        </is>
      </c>
    </row>
    <row r="5">
      <c r="A5" s="7" t="inlineStr">
        <is>
          <t>ตาราง 1</t>
        </is>
      </c>
      <c r="B5" s="5" t="inlineStr">
        <is>
          <t>Year Group × Payment Method Matrix — นับจำนวน Transaction</t>
        </is>
      </c>
    </row>
    <row r="6">
      <c r="A6" s="4" t="inlineStr">
        <is>
          <t>ตาราง 2</t>
        </is>
      </c>
      <c r="B6" s="6" t="inlineStr">
        <is>
          <t>Payment Method × Academic Year — เปรียบเทียบ YoY</t>
        </is>
      </c>
    </row>
    <row r="7">
      <c r="A7" s="7" t="inlineStr">
        <is>
          <t>Payment Methods</t>
        </is>
      </c>
      <c r="B7" s="5" t="inlineStr">
        <is>
          <t>Bank Transfer, Onsite Credit Card, Thai QR, Online Credit Card, Cheque, Bill Payment</t>
        </is>
      </c>
    </row>
    <row r="9">
      <c r="A9" s="3" t="inlineStr">
        <is>
          <t>Tab 4 — Declined vs Successful</t>
        </is>
      </c>
      <c r="B9" s="2" t="n"/>
    </row>
    <row r="10">
      <c r="A10" s="4" t="inlineStr">
        <is>
          <t>หมายเหตุ</t>
        </is>
      </c>
      <c r="B10" s="6" t="inlineStr">
        <is>
          <t>ระบบนี้เป็น Offline Payment ทั้งหมด → ไม่มี Declined</t>
        </is>
      </c>
    </row>
    <row r="11">
      <c r="A11" s="7" t="inlineStr">
        <is>
          <t>ข้อมูลที่แสดง</t>
        </is>
      </c>
      <c r="B11" s="5" t="inlineStr">
        <is>
          <t>จำนวน Successful Transaction แยกตาม Payment Method</t>
        </is>
      </c>
    </row>
    <row r="12">
      <c r="A12" s="4" t="inlineStr">
        <is>
          <t>Success Rate</t>
        </is>
      </c>
      <c r="B12" s="6">
        <f> 100% เสมอ (ไม่มี Gateway Decline)</f>
        <v/>
      </c>
    </row>
    <row r="14">
      <c r="A14" s="3" t="inlineStr">
        <is>
          <t>Tab 5 — Bank Fees</t>
        </is>
      </c>
      <c r="B14" s="2" t="n"/>
    </row>
    <row r="15">
      <c r="A15" s="4" t="inlineStr">
        <is>
          <t>Online Payment ที่มีค่าธรรมเนียม</t>
        </is>
      </c>
      <c r="B15" s="6" t="inlineStr">
        <is>
          <t>Thai QR, Online Credit Card เท่านั้น</t>
        </is>
      </c>
    </row>
    <row r="16">
      <c r="A16" s="7" t="inlineStr">
        <is>
          <t>ไม่นับ</t>
        </is>
      </c>
      <c r="B16" s="5" t="inlineStr">
        <is>
          <t>Bank Transfer, Cheque, Bill Payment, Onsite Credit Card</t>
        </is>
      </c>
    </row>
    <row r="17">
      <c r="A17" s="4" t="inlineStr">
        <is>
          <t>ตาราง 1</t>
        </is>
      </c>
      <c r="B17" s="6" t="inlineStr">
        <is>
          <t>Bank × Term Matrix — ค่าธรรมเนียมแยกตาม Term</t>
        </is>
      </c>
    </row>
    <row r="18">
      <c r="A18" s="7" t="inlineStr">
        <is>
          <t>ตาราง 2</t>
        </is>
      </c>
      <c r="B18" s="5" t="inlineStr">
        <is>
          <t>Bank × Academic Year — เปรียบเทียบ YoY</t>
        </is>
      </c>
    </row>
    <row r="20">
      <c r="A20" s="3" t="inlineStr">
        <is>
          <t>Tab 6 — Net vs Gross Revenue</t>
        </is>
      </c>
      <c r="B20" s="2" t="n"/>
    </row>
    <row r="21">
      <c r="A21" s="4" t="inlineStr">
        <is>
          <t>Gross Revenue</t>
        </is>
      </c>
      <c r="B21" s="6" t="inlineStr">
        <is>
          <t>รายได้ก่อนหักส่วนลดทุกประเภท (= Subtotal)</t>
        </is>
      </c>
    </row>
    <row r="22">
      <c r="A22" s="7" t="inlineStr">
        <is>
          <t>Deductions</t>
        </is>
      </c>
      <c r="B22" s="5" t="inlineStr">
        <is>
          <t>ส่วนลด: Sibling Discount, Staff Child, Scholarship, Student Group, Early Bird</t>
        </is>
      </c>
    </row>
    <row r="23">
      <c r="A23" s="4" t="inlineStr">
        <is>
          <t>Net Revenue</t>
        </is>
      </c>
      <c r="B23" s="6">
        <f> Gross Revenue − ผลรวม Deductions</f>
        <v/>
      </c>
    </row>
    <row r="24">
      <c r="A24" s="7" t="inlineStr">
        <is>
          <t>ตาราง</t>
        </is>
      </c>
      <c r="B24" s="5" t="inlineStr">
        <is>
          <t>Year Group × Academic Year แสดงทั้ง Gross และ Net เปรียบเทียบ YoY</t>
        </is>
      </c>
    </row>
  </sheetData>
  <mergeCells count="5">
    <mergeCell ref="A20:B20"/>
    <mergeCell ref="A14:B14"/>
    <mergeCell ref="A1:B1"/>
    <mergeCell ref="A9:B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2026-08-03T06:24:12Z</dcterms:created>
  <dcterms:modified xmlns:dcterms="http://purl.org/dc/terms/" xmlns:xsi="http://www.w3.org/2001/XMLSchema-instance" xsi:type="dcterms:W3CDTF">2026-08-03T06:24:12Z</dcterms:modified>
</cp:coreProperties>
</file>